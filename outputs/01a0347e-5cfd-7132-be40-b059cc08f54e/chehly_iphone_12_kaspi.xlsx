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45883d135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дборка" sheetId="1" r:id="Rc988e3af0ff1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 &quot;₸&quot;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B1D2B"/>
      <x:name val="Carlito"/>
    </x:font>
    <x:font>
      <x:b/>
      <x:sz val="11"/>
      <x:color rgb="FF475467"/>
      <x:name val="Carlito"/>
    </x:font>
    <x:font>
      <x:b/>
      <x:sz val="12"/>
      <x:color rgb="FF101828"/>
      <x:name val="Carlito"/>
    </x:font>
    <x:font>
      <x:b/>
      <x:sz val="11"/>
      <x:color rgb="FFFFFFFF"/>
      <x:name val="Carlito"/>
    </x:font>
    <x:font>
      <x:sz val="10"/>
      <x:color rgb="FF1D2939"/>
      <x:name val="Carlito"/>
    </x:font>
    <x:font>
      <x:sz val="9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C8102E"/>
      </x:patternFill>
    </x:fill>
    <x:fill>
      <x:patternFill patternType="solid">
        <x:fgColor rgb="FFFDECEF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344054"/>
      </x:patternFill>
    </x:fill>
  </x:fills>
  <x:borders count="10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344054"/>
      </x:left>
      <x:top style="thin">
        <x:color rgb="FF344054"/>
      </x:top>
      <x:bottom style="thin">
        <x:color rgb="FF344054"/>
      </x:bottom>
    </x:border>
    <x:border>
      <x:top style="thin">
        <x:color rgb="FF344054"/>
      </x:top>
      <x:bottom style="thin">
        <x:color rgb="FF344054"/>
      </x:bottom>
    </x:border>
    <x:border>
      <x:right style="thin">
        <x:color rgb="FF344054"/>
      </x:right>
      <x:top style="thin">
        <x:color rgb="FF344054"/>
      </x:top>
      <x:bottom style="thin">
        <x:color rgb="FF344054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vertical="top"/>
    </x:xf>
    <x:xf numFmtId="0" fontId="6" fillId="0" borderId="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horizontal="center" vertical="top"/>
    </x:xf>
    <x:xf numFmtId="0" fontId="6" fillId="0" borderId="8" xfId="0" applyNumberFormat="1" applyFont="1" applyFill="1" applyBorder="1" applyAlignment="1">
      <x:alignment horizontal="center" vertical="top"/>
    </x:xf>
    <x:xf numFmtId="0" fontId="6" fillId="0" borderId="9" xfId="0" applyNumberFormat="1" applyFont="1" applyFill="1" applyBorder="1" applyAlignment="1">
      <x:alignment horizontal="center" vertical="top"/>
    </x:xf>
    <x:xf numFmtId="201" fontId="6" fillId="0" borderId="7" xfId="0" applyNumberFormat="1" applyFont="1" applyFill="1" applyBorder="1" applyAlignment="1">
      <x:alignment horizontal="center" vertical="top"/>
    </x:xf>
    <x:xf numFmtId="201" fontId="6" fillId="0" borderId="8" xfId="0" applyNumberFormat="1" applyFont="1" applyFill="1" applyBorder="1" applyAlignment="1">
      <x:alignment horizontal="center" vertical="top"/>
    </x:xf>
    <x:xf numFmtId="201" fontId="6" fillId="0" borderId="9" xfId="0" applyNumberFormat="1" applyFont="1" applyFill="1" applyBorder="1" applyAlignment="1">
      <x:alignment horizontal="center" vertical="top"/>
    </x:xf>
    <x:xf numFmtId="0" fontId="7" fillId="0" borderId="7" xfId="0" applyNumberFormat="1" applyFont="1" applyFill="1" applyBorder="1" applyAlignment="1">
      <x:alignment vertical="top"/>
    </x:xf>
    <x:xf numFmtId="0" fontId="7" fillId="0" borderId="8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9FA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c621cc2534810" /><Relationship Type="http://schemas.openxmlformats.org/officeDocument/2006/relationships/theme" Target="/xl/theme/theme1.xml" Id="R7152dff1e2444c67" /><Relationship Type="http://schemas.openxmlformats.org/officeDocument/2006/relationships/sharedStrings" Target="/xl/sharedStrings.xml" Id="R8698400307c64fb5" /><Relationship Type="http://schemas.openxmlformats.org/officeDocument/2006/relationships/worksheet" Target="/xl/worksheets/sheet1.xml" Id="Rc988e3af0ff14e8c" /></Relationships>
</file>

<file path=xl/tables/table1.xml><?xml version="1.0" encoding="utf-8"?>
<x:table xmlns:x="http://schemas.openxmlformats.org/spreadsheetml/2006/main" id="1" name="IPhone12CasesTable" displayName="IPhone12CasesTable" ref="A5:H15" headerRowCount="1" totalsRowCount="0" totalsRowShown="0">
  <x:autoFilter ref="A5:H15"/>
  <x:tableColumns count="8">
    <x:tableColumn id="1" name="№"/>
    <x:tableColumn id="2" name="Название"/>
    <x:tableColumn id="3" name="Совместимость"/>
    <x:tableColumn id="4" name="Цвет / дизайн"/>
    <x:tableColumn id="5" name="Цена, ₸"/>
    <x:tableColumn id="6" name="Отзывы"/>
    <x:tableColumn id="7" name="Ссылка"/>
    <x:tableColumn id="8" name="Примечание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06f14225cd4b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2" hidden="0" customWidth="1"/>
    <x:col min="3" max="3" width="21" hidden="0" customWidth="1"/>
    <x:col min="4" max="4" width="18" hidden="0" customWidth="1"/>
    <x:col min="5" max="5" width="13" hidden="0" customWidth="1"/>
    <x:col min="6" max="6" width="10" hidden="0" customWidth="1"/>
    <x:col min="7" max="7" width="56" hidden="0" customWidth="1"/>
    <x:col min="8" max="8" width="27" hidden="0" customWidth="1"/>
  </x:cols>
  <x:sheetData>
    <x:row r="1" ht="34" customHeight="1">
      <x:c r="A1" s="4" t="str">
        <x:v>Чехлы для iPhone 12 на Kaspi</x:v>
      </x:c>
      <x:c r="B1" s="4"/>
      <x:c r="C1" s="4"/>
      <x:c r="D1" s="4"/>
      <x:c r="E1" s="4"/>
      <x:c r="F1" s="4"/>
      <x:c r="G1" s="4"/>
      <x:c r="H1" s="4"/>
    </x:row>
    <x:row r="2" ht="23" customHeight="1">
      <x:c r="A2" s="8" t="str">
        <x:v>Город: Алматы • Проверено: 24.08.2026 • Цены могут измениться</x:v>
      </x:c>
      <x:c r="B2" s="8"/>
      <x:c r="C2" s="8"/>
      <x:c r="D2" s="8"/>
      <x:c r="E2" s="8"/>
      <x:c r="F2" s="8"/>
      <x:c r="G2" s="8"/>
      <x:c r="H2" s="8"/>
    </x:row>
    <x:row r="3">
      <x:c r="A3" s="11" t="str">
        <x:v>Количество</x:v>
      </x:c>
      <x:c r="B3" s="11" t="str"/>
      <x:c r="C3" s="11" t="str">
        <x:v>Мин. цена</x:v>
      </x:c>
      <x:c r="D3" s="11" t="str"/>
      <x:c r="E3" s="11" t="str">
        <x:v>Макс. цена</x:v>
      </x:c>
      <x:c r="F3" s="11" t="str"/>
      <x:c r="G3" s="11" t="str">
        <x:v>Средняя цена</x:v>
      </x:c>
      <x:c r="H3" s="11" t="str"/>
    </x:row>
    <x:row r="4">
      <x:c r="A4" s="20" t="n">
        <x:f>COUNT(E6:E15)</x:f>
        <x:v>10</x:v>
      </x:c>
      <x:c r="B4" s="18"/>
      <x:c r="C4" s="21" t="n">
        <x:f>MIN(E6:E15)</x:f>
        <x:v>5990</x:v>
      </x:c>
      <x:c r="D4" s="21"/>
      <x:c r="E4" s="21" t="n">
        <x:f>MAX(E6:E15)</x:f>
        <x:v>7000</x:v>
      </x:c>
      <x:c r="F4" s="21"/>
      <x:c r="G4" s="21" t="n">
        <x:f>AVERAGE(E6:E15)</x:f>
        <x:v>6686.2</x:v>
      </x:c>
      <x:c r="H4" s="22"/>
    </x:row>
    <x:row r="5" ht="28" customHeight="1">
      <x:c r="A5" s="34" t="str">
        <x:v>№</x:v>
      </x:c>
      <x:c r="B5" s="35" t="str">
        <x:v>Название</x:v>
      </x:c>
      <x:c r="C5" s="35" t="str">
        <x:v>Совместимость</x:v>
      </x:c>
      <x:c r="D5" s="35" t="str">
        <x:v>Цвет / дизайн</x:v>
      </x:c>
      <x:c r="E5" s="35" t="str">
        <x:v>Цена, ₸</x:v>
      </x:c>
      <x:c r="F5" s="35" t="str">
        <x:v>Отзывы</x:v>
      </x:c>
      <x:c r="G5" s="35" t="str">
        <x:v>Ссылка</x:v>
      </x:c>
      <x:c r="H5" s="36" t="str">
        <x:v>Примечание</x:v>
      </x:c>
    </x:row>
    <x:row r="6" ht="42" customHeight="1">
      <x:c r="A6" s="44" t="n">
        <x:v>1</x:v>
      </x:c>
      <x:c r="B6" s="56" t="str">
        <x:v>Для Apple iPhone 12, iPhone 12 Pro прозрачный</x:v>
      </x:c>
      <x:c r="C6" s="57" t="str">
        <x:v>iPhone 12 / 12 Pro</x:v>
      </x:c>
      <x:c r="D6" s="57" t="str">
        <x:v>Прозрачный</x:v>
      </x:c>
      <x:c r="E6" s="47" t="n">
        <x:v>7000</x:v>
      </x:c>
      <x:c r="F6" s="44" t="str"/>
      <x:c r="G6" s="53" t="str">
        <x:v>https://kaspi.kz/shop/p/dlja-apple-iphone-12-iphone-12-pro-prozrachnyi-116576238/?c=750000000</x:v>
      </x:c>
      <x:c r="H6" s="56" t="str">
        <x:v>Верхняя граница бюджета</x:v>
      </x:c>
    </x:row>
    <x:row r="7" ht="42" customHeight="1">
      <x:c r="A7" s="45" t="n">
        <x:v>2</x:v>
      </x:c>
      <x:c r="B7" s="58" t="str">
        <x:v>Чехол для Apple iPhone 12 темно-коричневый</x:v>
      </x:c>
      <x:c r="C7" s="59" t="str">
        <x:v>iPhone 12</x:v>
      </x:c>
      <x:c r="D7" s="59" t="str">
        <x:v>Темно-коричневый</x:v>
      </x:c>
      <x:c r="E7" s="48" t="n">
        <x:v>6999</x:v>
      </x:c>
      <x:c r="F7" s="45" t="str"/>
      <x:c r="G7" s="54" t="str">
        <x:v>https://kaspi.kz/shop/p/chehol-dlja-apple-iphone-12-temno-korichnevyi-172866096/?c=750000000</x:v>
      </x:c>
      <x:c r="H7" s="58" t="str"/>
    </x:row>
    <x:row r="8" ht="42" customHeight="1">
      <x:c r="A8" s="45" t="n">
        <x:v>3</x:v>
      </x:c>
      <x:c r="B8" s="58" t="str">
        <x:v>Чехол 727 для Apple iPhone 12 оранжевый</x:v>
      </x:c>
      <x:c r="C8" s="59" t="str">
        <x:v>iPhone 12</x:v>
      </x:c>
      <x:c r="D8" s="59" t="str">
        <x:v>Оранжевый</x:v>
      </x:c>
      <x:c r="E8" s="48" t="n">
        <x:v>6990</x:v>
      </x:c>
      <x:c r="F8" s="45" t="str"/>
      <x:c r="G8" s="54" t="str">
        <x:v>https://kaspi.kz/shop/p/chehol-727-dlja-apple-iphone-12-oranzhevyi-147243254/?c=750000000</x:v>
      </x:c>
      <x:c r="H8" s="58" t="str"/>
    </x:row>
    <x:row r="9" ht="42" customHeight="1">
      <x:c r="A9" s="45" t="n">
        <x:v>4</x:v>
      </x:c>
      <x:c r="B9" s="58" t="str">
        <x:v>Чехол Totu для Apple iPhone 12, iPhone 12 Pro красный</x:v>
      </x:c>
      <x:c r="C9" s="59" t="str">
        <x:v>iPhone 12 / 12 Pro</x:v>
      </x:c>
      <x:c r="D9" s="59" t="str">
        <x:v>Красный</x:v>
      </x:c>
      <x:c r="E9" s="48" t="n">
        <x:v>6990</x:v>
      </x:c>
      <x:c r="F9" s="45" t="str"/>
      <x:c r="G9" s="54" t="str">
        <x:v>https://kaspi.kz/shop/p/chehol-totu-dlja-apple-iphone-12-iphone-12-pro-krasnyi-150957113/?c=750000000</x:v>
      </x:c>
      <x:c r="H9" s="58" t="str"/>
    </x:row>
    <x:row r="10" ht="42" customHeight="1">
      <x:c r="A10" s="45" t="n">
        <x:v>5</x:v>
      </x:c>
      <x:c r="B10" s="58" t="str">
        <x:v>Чехол Kajsa для Apple iPhone 12, iPhone 12 Pro рисунок</x:v>
      </x:c>
      <x:c r="C10" s="59" t="str">
        <x:v>iPhone 12 / 12 Pro</x:v>
      </x:c>
      <x:c r="D10" s="59" t="str">
        <x:v>Рисунок</x:v>
      </x:c>
      <x:c r="E10" s="48" t="n">
        <x:v>6900</x:v>
      </x:c>
      <x:c r="F10" s="45" t="str"/>
      <x:c r="G10" s="54" t="str">
        <x:v>https://kaspi.kz/shop/p/chehol-kajsa-dlja-apple-iphone-12-iphone-12-pro-risunok-113487492/?c=750000000</x:v>
      </x:c>
      <x:c r="H10" s="58" t="str"/>
    </x:row>
    <x:row r="11" ht="42" customHeight="1">
      <x:c r="A11" s="45" t="n">
        <x:v>6</x:v>
      </x:c>
      <x:c r="B11" s="58" t="str">
        <x:v>Чехол Commo для Apple iPhone 12 Pro, iPhone 12 желтый</x:v>
      </x:c>
      <x:c r="C11" s="59" t="str">
        <x:v>iPhone 12 / 12 Pro</x:v>
      </x:c>
      <x:c r="D11" s="59" t="str">
        <x:v>Желтый</x:v>
      </x:c>
      <x:c r="E11" s="48" t="n">
        <x:v>6818</x:v>
      </x:c>
      <x:c r="F11" s="45" t="str"/>
      <x:c r="G11" s="54" t="str">
        <x:v>https://kaspi.kz/shop/p/chehol-commo-dlja-apple-iphone-12-pro-iphone-12-zheltyi-164409669/?c=750000000</x:v>
      </x:c>
      <x:c r="H11" s="58" t="str"/>
    </x:row>
    <x:row r="12" ht="42" customHeight="1">
      <x:c r="A12" s="45" t="n">
        <x:v>7</x:v>
      </x:c>
      <x:c r="B12" s="58" t="str">
        <x:v>Чехол Commo для Apple iPhone 12, iPhone 12 Pro темно-серый</x:v>
      </x:c>
      <x:c r="C12" s="59" t="str">
        <x:v>iPhone 12 / 12 Pro</x:v>
      </x:c>
      <x:c r="D12" s="59" t="str">
        <x:v>Темно-серый</x:v>
      </x:c>
      <x:c r="E12" s="48" t="n">
        <x:v>6675</x:v>
      </x:c>
      <x:c r="F12" s="45" t="n">
        <x:v>1</x:v>
      </x:c>
      <x:c r="G12" s="54" t="str">
        <x:v>https://kaspi.kz/shop/p/chehol-commo-dlja-apple-iphone-12-iphone-12-pro-temno-seryi-154515957/?c=750000000</x:v>
      </x:c>
      <x:c r="H12" s="58" t="str">
        <x:v>1 отзыв на момент проверки</x:v>
      </x:c>
    </x:row>
    <x:row r="13" ht="42" customHeight="1">
      <x:c r="A13" s="45" t="n">
        <x:v>8</x:v>
      </x:c>
      <x:c r="B13" s="58" t="str">
        <x:v>Чехол CASETiFY для Apple iPhone 12, iPhone 12 Pro белый</x:v>
      </x:c>
      <x:c r="C13" s="59" t="str">
        <x:v>iPhone 12 / 12 Pro</x:v>
      </x:c>
      <x:c r="D13" s="59" t="str">
        <x:v>Белый</x:v>
      </x:c>
      <x:c r="E13" s="48" t="n">
        <x:v>6500</x:v>
      </x:c>
      <x:c r="F13" s="45" t="str"/>
      <x:c r="G13" s="54" t="str">
        <x:v>https://kaspi.kz/shop/p/chehol-casetify-dlja-apple-iphone-12-iphone-12-pro-belyi-103009559/?c=750000000</x:v>
      </x:c>
      <x:c r="H13" s="58" t="str"/>
    </x:row>
    <x:row r="14" ht="42" customHeight="1">
      <x:c r="A14" s="45" t="n">
        <x:v>9</x:v>
      </x:c>
      <x:c r="B14" s="58" t="str">
        <x:v>Чехол Coblue для Apple iPhone 12, iPhone 12 Pro черный</x:v>
      </x:c>
      <x:c r="C14" s="59" t="str">
        <x:v>iPhone 12 / 12 Pro</x:v>
      </x:c>
      <x:c r="D14" s="59" t="str">
        <x:v>Черный</x:v>
      </x:c>
      <x:c r="E14" s="48" t="n">
        <x:v>6000</x:v>
      </x:c>
      <x:c r="F14" s="45" t="str"/>
      <x:c r="G14" s="54" t="str">
        <x:v>https://kaspi.kz/shop/p/chehol-coblue-dlja-apple-iphone-12-iphone-12-pro-chernyi-105639398/?c=750000000</x:v>
      </x:c>
      <x:c r="H14" s="58" t="str"/>
    </x:row>
    <x:row r="15" ht="42" customHeight="1">
      <x:c r="A15" s="46" t="n">
        <x:v>10</x:v>
      </x:c>
      <x:c r="B15" s="60" t="str">
        <x:v>Чехол Im-Case для Apple iPhone 12, iPhone 12 Pro рисунок</x:v>
      </x:c>
      <x:c r="C15" s="61" t="str">
        <x:v>iPhone 12 / 12 Pro</x:v>
      </x:c>
      <x:c r="D15" s="61" t="str">
        <x:v>Рисунок</x:v>
      </x:c>
      <x:c r="E15" s="49" t="n">
        <x:v>5990</x:v>
      </x:c>
      <x:c r="F15" s="46" t="str"/>
      <x:c r="G15" s="55" t="str">
        <x:v>https://kaspi.kz/shop/p/chehol-im-case-dlja-apple-iphone-12-iphone-12-pro-risunok-101785752/?c=750000000</x:v>
      </x:c>
      <x:c r="H15" s="60" t="str">
        <x:v>Самая низкая цена в подборке</x:v>
      </x:c>
    </x:row>
  </x:sheetData>
  <x:mergeCells>
    <x:mergeCell ref="A1:H1"/>
    <x:mergeCell ref="A2:H2"/>
  </x:mergeCells>
  <x:conditionalFormatting sqref="A6:H15">
    <x:cfRule type="expression" dxfId="0" priority="1">
      <x:formula>MOD(ROW(),2)=0</x:formula>
    </x:cfRule>
  </x:conditionalFormatting>
  <x:conditionalFormatting sqref="E6:E15">
    <x:cfRule type="dataBar" priority="2">
      <x:dataBar>
        <x:cfvo type="min"/>
        <x:cfvo type="max"/>
        <x:color rgb="FFF04438"/>
      </x:dataBar>
      <x:extLst>
        <x:ext xmlns:x14="http://schemas.microsoft.com/office/spreadsheetml/2009/9/main" uri="{B025F937-C7B1-47D3-B67F-A62EFF666E3E}">
          <x14:id>{96B3077A-7C2C-7A1B-8B04-9E595D11E2D7}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a06f14225cd4b8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6B3077A-7C2C-7A1B-8B04-9E595D11E2D7}">
            <x14:dataBar gradient="1">
              <x14:cfvo type="min"/>
              <x14:cfvo type="max"/>
              <x14:fillColor rgb="FFF04438"/>
            </x14:dataBar>
          </x14:cfRule>
          <xm:sqref>E6:E15</xm:sqref>
        </x14:conditionalFormatting>
      </x14:conditionalFormattings>
    </x:ext>
  </x:extLst>
</x:worksheet>
</file>